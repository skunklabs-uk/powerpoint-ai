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4.04\home\iingenito\projects\txt\powerpoint\2026-06-30-data-pipeline\"/>
    </mc:Choice>
  </mc:AlternateContent>
  <xr:revisionPtr revIDLastSave="0" documentId="13_ncr:1_{4683E822-DA6F-4E12-84D2-D7B8E2FDFB98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Executive recap" sheetId="1" r:id="rId1"/>
    <sheet name="Comparazione funzinale" sheetId="2" r:id="rId2"/>
    <sheet name="Stime" sheetId="3" r:id="rId3"/>
    <sheet name="Economics" sheetId="4" r:id="rId4"/>
    <sheet name="Assump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3" i="4" s="1"/>
  <c r="B2" i="4"/>
  <c r="B3" i="4" s="1"/>
</calcChain>
</file>

<file path=xl/sharedStrings.xml><?xml version="1.0" encoding="utf-8"?>
<sst xmlns="http://schemas.openxmlformats.org/spreadsheetml/2006/main" count="136" uniqueCount="125">
  <si>
    <t>Le due strade rispondono a priorità diverse: Qlik punta di più sul self-service, AWS lascia più controllo sullo stack.</t>
  </si>
  <si>
    <t>Tema</t>
  </si>
  <si>
    <t>AWS | Dagster + dbt + Metabase</t>
  </si>
  <si>
    <t>Utenti funzionali</t>
  </si>
  <si>
    <t>Sì: possono costruire e aggiornare dashboard sui dati preparati dal team tecnico.</t>
  </si>
  <si>
    <t>Sì: possono esplorare i dati e creare dashboard con un'esperienza più guidata.</t>
  </si>
  <si>
    <t>Entrambe funzionano; Qlik è più vicino al bisogno espresso.</t>
  </si>
  <si>
    <t>Pilot tecnico</t>
  </si>
  <si>
    <t>3-5 settimane con componenti riusabili. 5-7 da zero.</t>
  </si>
  <si>
    <t>2-4 settimane se pronto. 4-6 se le attivazioni sono da completare.</t>
  </si>
  <si>
    <t>Perimetro ristretto: 1 caso d'uso, 1-2 fonti e 2-3 dashboard.</t>
  </si>
  <si>
    <t>Costi diretti primo anno</t>
  </si>
  <si>
    <t>€5k</t>
  </si>
  <si>
    <t>€30k*</t>
  </si>
  <si>
    <t>Solo cloud AWS o subscription Qlik; effort interno escluso.</t>
  </si>
  <si>
    <t>Passo successivo</t>
  </si>
  <si>
    <t>La scelta va presa dopo un pilot misurabile, non guardando solo il canone.</t>
  </si>
  <si>
    <t>Messaggio</t>
  </si>
  <si>
    <t>Qlik è più diretto per il self-service business. AWS offre più controllo su pipeline, riuso e logiche custom.</t>
  </si>
  <si>
    <t>Nota</t>
  </si>
  <si>
    <t>* Qlik: subscription base di 30k EUR per 12 mesi; periodo e perimetro sono da confermare. Effort e supporto del team interno sono esclusi.</t>
  </si>
  <si>
    <t>Il confronto riguarda ciò che l'utente può fare e ciò che resta al team tecnico.</t>
  </si>
  <si>
    <t>AWS | Metabase</t>
  </si>
  <si>
    <t>Qlik | Cloud + Talend</t>
  </si>
  <si>
    <t>Lettura per il business</t>
  </si>
  <si>
    <t>Creare dashboard</t>
  </si>
  <si>
    <t>Sì, sui dati già preparati dal team tecnico.</t>
  </si>
  <si>
    <t>Sì, con strumenti guidati per esplorare i dati.</t>
  </si>
  <si>
    <t>Entrambe sono utilizzabili dagli utenti funzionali.</t>
  </si>
  <si>
    <t>Esplorare i dati</t>
  </si>
  <si>
    <t>Query builder, grafici e dashboard.</t>
  </si>
  <si>
    <t>Esplorazione e analisi guidata.</t>
  </si>
  <si>
    <t>Qlik offre un'esperienza più ricca e orientata all'analisi.</t>
  </si>
  <si>
    <t>Metriche condivise</t>
  </si>
  <si>
    <t>Vanno definite e governate nel modello dati.</t>
  </si>
  <si>
    <t>Vanno definite e governate nel modello e nel tenant.</t>
  </si>
  <si>
    <t>La libertà dell'utente parte da metriche affidabili.</t>
  </si>
  <si>
    <t>Nuove fonti e regole</t>
  </si>
  <si>
    <t>Restano al team data engineering.</t>
  </si>
  <si>
    <t>Restano al team Talend/Qlik o a uno sviluppatore.</t>
  </si>
  <si>
    <t>Il self-service riguarda la dashboard, non la costruzione della pipeline.</t>
  </si>
  <si>
    <t>File complessi e logiche custom</t>
  </si>
  <si>
    <t>Ampia libertà di personalizzazione.</t>
  </si>
  <si>
    <t>Da provare sui casi ProSIGNAL.</t>
  </si>
  <si>
    <t>È il test più importante per la scelta tecnica.</t>
  </si>
  <si>
    <t>Prerequisito per partire</t>
  </si>
  <si>
    <t>Serve un'infrastruttura nostra o del cliente disponibile e compatibile.</t>
  </si>
  <si>
    <t>Serve che il cliente accetti di portare i dati in cloud.</t>
  </si>
  <si>
    <t>È una decisione di contesto, prima ancora che di prodotto.</t>
  </si>
  <si>
    <t>Componente di gestione</t>
  </si>
  <si>
    <t>Sì: infrastruttura, runtime, monitoraggio, backup e accessi.</t>
  </si>
  <si>
    <t>Non per la piattaforma cloud; restano tenant, licenze e governance.</t>
  </si>
  <si>
    <t>AWS richiede un layer operativo dedicato; Qlik Cloud riduce la gestione della piattaforma.</t>
  </si>
  <si>
    <t>Gestione operativa</t>
  </si>
  <si>
    <t>Più componenti da gestire.</t>
  </si>
  <si>
    <t>Più dipendenza da licenze e tenant.</t>
  </si>
  <si>
    <t>Trade-off tra controllo tecnico e semplicità di piattaforma.</t>
  </si>
  <si>
    <t>AWS</t>
  </si>
  <si>
    <t>Qlik</t>
  </si>
  <si>
    <t>Cosa può cambiare i tempi</t>
  </si>
  <si>
    <t>Pilot tecnico | prerequisiti pronti</t>
  </si>
  <si>
    <t>3-5 sett.</t>
  </si>
  <si>
    <t>2-4 sett.</t>
  </si>
  <si>
    <t>AWS: componenti riusabili e infrastruttura pronta. Qlik: tenant, licenze e connettori pronti.</t>
  </si>
  <si>
    <t>Pilot tecnico | prerequisiti da completare</t>
  </si>
  <si>
    <t>5-7 sett.</t>
  </si>
  <si>
    <t>4-6 sett.</t>
  </si>
  <si>
    <t>AWS: setup da zero. Qlik: attivazioni, accessi o connettori da completare.</t>
  </si>
  <si>
    <t>Perimetro</t>
  </si>
  <si>
    <t>1 caso / 1-2 fonti / 2-3 dashboard</t>
  </si>
  <si>
    <t>Dati campione; validazione capability e prerequisiti; niente hardening produttivo completo.</t>
  </si>
  <si>
    <t>Fuori perimetro</t>
  </si>
  <si>
    <t>Hardening e industrializzazione</t>
  </si>
  <si>
    <t>Niente go-live produttivo completo, parallel run esteso o runbook operativo definitivo.</t>
  </si>
  <si>
    <t>Prima implementazione riusabile</t>
  </si>
  <si>
    <t>7-13 sett. con riuso
10-17 da zero</t>
  </si>
  <si>
    <t>6-11 sett. se pronto
9-15 se da attivare</t>
  </si>
  <si>
    <t>Include perimetro più ampio, quality gate, UAT, riconciliazioni, go-live controllato e runbook.</t>
  </si>
  <si>
    <t>Base di calcolo</t>
  </si>
  <si>
    <t>Il pilot tecnico serve a decidere; la prima implementazione riusabile è un livello successivo.</t>
  </si>
  <si>
    <t>Voce</t>
  </si>
  <si>
    <t>Cosa comprende / da cosa dipende</t>
  </si>
  <si>
    <t>Cloud / subscription 12 mesi</t>
  </si>
  <si>
    <t>AWS: EC2, RDS e S3. Qlik: subscription base da 30k EUR.</t>
  </si>
  <si>
    <t>AWS €5k cloud; Qlik €30k subscription. Effort interno escluso.</t>
  </si>
  <si>
    <t>Non incluso</t>
  </si>
  <si>
    <t>Valore</t>
  </si>
  <si>
    <t>Unità</t>
  </si>
  <si>
    <t>Perché serve</t>
  </si>
  <si>
    <t>Costo cloud AWS</t>
  </si>
  <si>
    <t>EUR / 12 mesi</t>
  </si>
  <si>
    <t>2 EC2 t3.medium always-on, 1 RDS db.t4g.medium, 100 GB DB, 1 TB S3 medio, backup/log/egress inclusi come buffer.</t>
  </si>
  <si>
    <t>Subscription Qlik</t>
  </si>
  <si>
    <t>Subscription base 50 GB; capability Talend da verificare.</t>
  </si>
  <si>
    <t>Run e supporto</t>
  </si>
  <si>
    <t>Interno</t>
  </si>
  <si>
    <t>non valorizzato</t>
  </si>
  <si>
    <t>Gestione interna; esclusa dai costi diretti del POC.</t>
  </si>
  <si>
    <t>Perimetro pilot tecnico</t>
  </si>
  <si>
    <t>scope ristretto</t>
  </si>
  <si>
    <t>È il perimetro usato per il pilot decisionale.</t>
  </si>
  <si>
    <t>Configurazione AWS</t>
  </si>
  <si>
    <t>2 EC2 / 1 RDS</t>
  </si>
  <si>
    <t>architettura</t>
  </si>
  <si>
    <t>Sizing usato nel budget; ECS/EC2 e DB cliente restano da scegliere.</t>
  </si>
  <si>
    <t>Storage e retention</t>
  </si>
  <si>
    <t>1 TB / lifecycle 90 gg</t>
  </si>
  <si>
    <t>storage</t>
  </si>
  <si>
    <t>Corrisponde allo scenario di landing/raw e storico.</t>
  </si>
  <si>
    <t>Periodo Qlik</t>
  </si>
  <si>
    <t>12 mesi</t>
  </si>
  <si>
    <t>licenza</t>
  </si>
  <si>
    <t>Serve per rendere comparabile il budget del primo anno.</t>
  </si>
  <si>
    <t>Perimetro prima implementazione riusabile</t>
  </si>
  <si>
    <t>1 caso / 5 fonti / 6 dashboard</t>
  </si>
  <si>
    <t>scope esteso</t>
  </si>
  <si>
    <t>Spiega i tempi più lunghi; non è il perimetro del pilot tecnico.</t>
  </si>
  <si>
    <t>Sintesi finale</t>
  </si>
  <si>
    <t>Cosa significa ?</t>
  </si>
  <si>
    <t>Funzionalità</t>
  </si>
  <si>
    <t>Stime</t>
  </si>
  <si>
    <t>1 caso d'uso, 1-2 fonti, 2-3 dashboard, dati campione e nessun hardening produttivo completo.</t>
  </si>
  <si>
    <t>Add-on, SLA premium</t>
  </si>
  <si>
    <t>Test su Novigo CDG e conferma del sizing AWS.</t>
  </si>
  <si>
    <t>Verifica del tenant e test su Novigo CDG.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</si>
</sst>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EUR&quot;"/>
    <numFmt numFmtId="170" formatCode="#,##0\ &quot;€&quot;"/>
  </numFmts>
  <fonts count="11" x14ac:knownFonts="1">
    <font>
      <sz val="11"/>
      <color theme="1"/>
      <name val="Calibri"/>
      <family val="2"/>
      <scheme val="minor"/>
    </font>
    <font>
      <sz val="11"/>
      <color rgb="FF20262B"/>
      <name val="Poppins"/>
      <family val="2"/>
    </font>
    <font>
      <b/>
      <sz val="11"/>
      <color rgb="FF2474C5"/>
      <name val="Poppins"/>
      <family val="2"/>
    </font>
    <font>
      <b/>
      <sz val="11"/>
      <color rgb="FF07914D"/>
      <name val="Poppins"/>
      <family val="2"/>
    </font>
    <font>
      <sz val="11"/>
      <color rgb="FF07914D"/>
      <name val="Poppins"/>
      <family val="2"/>
    </font>
    <font>
      <sz val="11"/>
      <color rgb="FFE8A12D"/>
      <name val="Poppins"/>
      <family val="2"/>
    </font>
    <font>
      <sz val="11"/>
      <color rgb="FF2474C5"/>
      <name val="Poppins"/>
      <family val="2"/>
    </font>
    <font>
      <b/>
      <sz val="12"/>
      <color rgb="FF25333D"/>
      <name val="Poppins"/>
      <family val="2"/>
    </font>
    <font>
      <sz val="11"/>
      <color theme="1"/>
      <name val="Poppins"/>
      <family val="2"/>
    </font>
    <font>
      <b/>
      <sz val="12"/>
      <color theme="1"/>
      <name val="Poppins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F8EE"/>
        <bgColor indexed="64"/>
      </patternFill>
    </fill>
    <fill>
      <patternFill patternType="solid">
        <fgColor rgb="FFF4F7F8"/>
        <bgColor indexed="64"/>
      </patternFill>
    </fill>
    <fill>
      <patternFill patternType="solid">
        <fgColor rgb="FFFFF8EC"/>
        <bgColor indexed="64"/>
      </patternFill>
    </fill>
    <fill>
      <patternFill patternType="solid">
        <fgColor rgb="FFEDF7FC"/>
        <bgColor indexed="64"/>
      </patternFill>
    </fill>
  </fills>
  <borders count="5">
    <border>
      <left/>
      <right/>
      <top/>
      <bottom/>
      <diagonal/>
    </border>
    <border>
      <left style="thin">
        <color rgb="FFD5E1E5"/>
      </left>
      <right style="thin">
        <color rgb="FFD5E1E5"/>
      </right>
      <top style="thin">
        <color rgb="FFD5E1E5"/>
      </top>
      <bottom style="thin">
        <color rgb="FFD5E1E5"/>
      </bottom>
      <diagonal/>
    </border>
    <border>
      <left style="thin">
        <color rgb="FFD5E1E5"/>
      </left>
      <right/>
      <top style="thin">
        <color rgb="FFD5E1E5"/>
      </top>
      <bottom style="thin">
        <color rgb="FFD5E1E5"/>
      </bottom>
      <diagonal/>
    </border>
    <border>
      <left/>
      <right/>
      <top style="thin">
        <color rgb="FFD5E1E5"/>
      </top>
      <bottom style="thin">
        <color rgb="FFD5E1E5"/>
      </bottom>
      <diagonal/>
    </border>
    <border>
      <left/>
      <right style="thin">
        <color rgb="FFD5E1E5"/>
      </right>
      <top style="thin">
        <color rgb="FFD5E1E5"/>
      </top>
      <bottom style="thin">
        <color rgb="FFD5E1E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7" fillId="5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10" fillId="0" borderId="0" xfId="0" applyFont="1"/>
    <xf numFmtId="0" fontId="6" fillId="5" borderId="2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/>
    </xf>
    <xf numFmtId="170" fontId="1" fillId="0" borderId="1" xfId="0" applyNumberFormat="1" applyFont="1" applyFill="1" applyBorder="1" applyAlignment="1">
      <alignment horizontal="center" vertical="center"/>
    </xf>
    <xf numFmtId="170" fontId="1" fillId="3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</cellXfs>
  <cellStyles count="1">
    <cellStyle name="Normale" xfId="0" builtinId="0"/>
  </cellStyles>
  <dxfs count="30">
    <dxf>
      <font>
        <color rgb="FF20262B"/>
        <name val="Poppins"/>
        <family val="2"/>
        <scheme val="none"/>
      </font>
      <fill>
        <patternFill patternType="solid">
          <fgColor indexed="64"/>
          <bgColor rgb="FFF4F7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5E1E5"/>
        </left>
        <right style="thin">
          <color rgb="FFD5E1E5"/>
        </right>
        <top style="thin">
          <color rgb="FFD5E1E5"/>
        </top>
        <bottom style="thin">
          <color rgb="FFD5E1E5"/>
        </bottom>
      </border>
    </dxf>
    <dxf>
      <font>
        <color rgb="FF20262B"/>
        <name val="Poppins"/>
        <family val="2"/>
        <scheme val="none"/>
      </font>
      <fill>
        <patternFill patternType="solid">
          <fgColor indexed="64"/>
          <bgColor rgb="FFF4F7F8"/>
        </patternFill>
      </fill>
      <alignment horizontal="general" vertical="center" textRotation="0" wrapText="1" indent="0" justifyLastLine="0" shrinkToFit="0" readingOrder="0"/>
    </dxf>
    <dxf>
      <font>
        <color rgb="FF20262B"/>
        <name val="Poppins"/>
        <family val="2"/>
        <scheme val="none"/>
      </font>
      <fill>
        <patternFill patternType="solid">
          <fgColor indexed="64"/>
          <bgColor rgb="FFF4F7F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5E1E5"/>
        </left>
        <right style="thin">
          <color rgb="FFD5E1E5"/>
        </right>
        <top style="thin">
          <color rgb="FFD5E1E5"/>
        </top>
        <bottom style="thin">
          <color rgb="FFD5E1E5"/>
        </bottom>
        <vertical/>
        <horizontal/>
      </border>
    </dxf>
    <dxf>
      <font>
        <color rgb="FF20262B"/>
        <name val="Poppins"/>
        <family val="2"/>
        <scheme val="none"/>
      </font>
      <fill>
        <patternFill patternType="solid">
          <fgColor indexed="64"/>
          <bgColor rgb="FFF4F7F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5E1E5"/>
        </left>
        <right style="thin">
          <color rgb="FFD5E1E5"/>
        </right>
        <top style="thin">
          <color rgb="FFD5E1E5"/>
        </top>
        <bottom style="thin">
          <color rgb="FFD5E1E5"/>
        </bottom>
        <vertical/>
        <horizontal/>
      </border>
    </dxf>
    <dxf>
      <font>
        <color rgb="FF20262B"/>
        <name val="Poppins"/>
        <family val="2"/>
        <scheme val="none"/>
      </font>
      <fill>
        <patternFill patternType="solid">
          <fgColor indexed="64"/>
          <bgColor rgb="FFF4F7F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5E1E5"/>
        </left>
        <right style="thin">
          <color rgb="FFD5E1E5"/>
        </right>
        <top style="thin">
          <color rgb="FFD5E1E5"/>
        </top>
        <bottom style="thin">
          <color rgb="FFD5E1E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outline="0">
        <left style="thin">
          <color rgb="FFD5E1E5"/>
        </left>
      </border>
    </dxf>
    <dxf>
      <alignment horizontal="general" vertical="center" textRotation="0" indent="0" justifyLastLine="0" shrinkToFit="0" readingOrder="0"/>
      <border outline="0">
        <left style="thin">
          <color rgb="FFD5E1E5"/>
        </left>
      </border>
    </dxf>
    <dxf>
      <alignment horizontal="center" vertical="center" textRotation="0" wrapText="1" indent="0" justifyLastLine="0" shrinkToFit="0" readingOrder="0"/>
      <border outline="0">
        <right style="thin">
          <color rgb="FFD5E1E5"/>
        </right>
      </border>
    </dxf>
    <dxf>
      <alignment horizontal="general" vertical="center" textRotation="0" indent="0" justifyLastLine="0" shrinkToFit="0" readingOrder="0"/>
      <border outline="0">
        <right style="thin">
          <color rgb="FFD5E1E5"/>
        </right>
      </border>
    </dxf>
    <dxf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Poppin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ecutiveClevel" displayName="ExecutiveClevel" ref="A1:D5" totalsRowShown="0" headerRowDxfId="29" dataDxfId="24">
  <tableColumns count="4">
    <tableColumn id="1" xr3:uid="{00000000-0010-0000-0000-000001000000}" name="Tema" dataDxfId="28"/>
    <tableColumn id="2" xr3:uid="{00000000-0010-0000-0000-000002000000}" name="AWS | Dagster + dbt + Metabase" dataDxfId="27"/>
    <tableColumn id="3" xr3:uid="{00000000-0010-0000-0000-000003000000}" name="Qlik | Cloud + Talend" dataDxfId="26"/>
    <tableColumn id="4" xr3:uid="{00000000-0010-0000-0000-000004000000}" name="Cosa significa ?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unctionalClevel" displayName="FunctionalClevel" ref="A1:D9" totalsRowShown="0" headerRowDxfId="19" dataDxfId="18">
  <tableColumns count="4">
    <tableColumn id="1" xr3:uid="{00000000-0010-0000-0100-000001000000}" name="Funzionalità" dataDxfId="23"/>
    <tableColumn id="2" xr3:uid="{00000000-0010-0000-0100-000002000000}" name="AWS | Metabase" dataDxfId="22"/>
    <tableColumn id="3" xr3:uid="{00000000-0010-0000-0100-000003000000}" name="Qlik | Cloud + Talend" dataDxfId="21"/>
    <tableColumn id="4" xr3:uid="{00000000-0010-0000-0100-000004000000}" name="Lettura per il business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liveryClevel" displayName="DeliveryClevel" ref="A1:D6" totalsRowShown="0" headerRowDxfId="13" dataDxfId="12">
  <tableColumns count="4">
    <tableColumn id="1" xr3:uid="{00000000-0010-0000-0200-000001000000}" name="Stime" dataDxfId="17"/>
    <tableColumn id="2" xr3:uid="{00000000-0010-0000-0200-000002000000}" name="AWS" dataDxfId="16"/>
    <tableColumn id="3" xr3:uid="{00000000-0010-0000-0200-000003000000}" name="Qlik" dataDxfId="15"/>
    <tableColumn id="4" xr3:uid="{00000000-0010-0000-0200-000004000000}" name="Cosa può cambiare i tempi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conomicsClevel" displayName="EconomicsClevel" ref="A1:D3" totalsRowShown="0" headerRowDxfId="11" dataDxfId="10">
  <tableColumns count="4">
    <tableColumn id="1" xr3:uid="{00000000-0010-0000-0300-000001000000}" name="Voce" dataDxfId="9"/>
    <tableColumn id="2" xr3:uid="{00000000-0010-0000-0300-000002000000}" name="AWS" dataDxfId="8"/>
    <tableColumn id="3" xr3:uid="{00000000-0010-0000-0300-000003000000}" name="Qlik" dataDxfId="6"/>
    <tableColumn id="4" xr3:uid="{00000000-0010-0000-0300-000004000000}" name="Cosa comprende / da cosa dipende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ssumptionsClevel" displayName="AssumptionsClevel" ref="A1:D7" totalsRowShown="0" headerRowDxfId="5" dataDxfId="1">
  <tableColumns count="4">
    <tableColumn id="2" xr3:uid="{00000000-0010-0000-0400-000002000000}" name="Voce" dataDxfId="4"/>
    <tableColumn id="3" xr3:uid="{00000000-0010-0000-0400-000003000000}" name="Valore" dataDxfId="0"/>
    <tableColumn id="4" xr3:uid="{00000000-0010-0000-0400-000004000000}" name="Unità" dataDxfId="3"/>
    <tableColumn id="5" xr3:uid="{00000000-0010-0000-0400-000005000000}" name="Perché serv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0"/>
  <sheetViews>
    <sheetView showGridLines="0" tabSelected="1" zoomScale="90" zoomScaleNormal="90"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1" max="1" width="25.21875" bestFit="1" customWidth="1"/>
    <col min="2" max="2" width="50.21875" bestFit="1" customWidth="1"/>
    <col min="3" max="3" width="46.88671875" bestFit="1" customWidth="1"/>
    <col min="4" max="4" width="45.77734375" bestFit="1" customWidth="1"/>
  </cols>
  <sheetData>
    <row r="1" spans="1:4" ht="30" customHeight="1" x14ac:dyDescent="0.3">
      <c r="A1" s="5" t="s">
        <v>1</v>
      </c>
      <c r="B1" s="5" t="s">
        <v>2</v>
      </c>
      <c r="C1" s="5" t="s">
        <v>23</v>
      </c>
      <c r="D1" s="5" t="s">
        <v>118</v>
      </c>
    </row>
    <row r="2" spans="1:4" ht="52.05" customHeight="1" x14ac:dyDescent="0.3">
      <c r="A2" s="6" t="s">
        <v>3</v>
      </c>
      <c r="B2" s="7" t="s">
        <v>4</v>
      </c>
      <c r="C2" s="8" t="s">
        <v>5</v>
      </c>
      <c r="D2" s="9" t="s">
        <v>6</v>
      </c>
    </row>
    <row r="3" spans="1:4" ht="52.05" customHeight="1" x14ac:dyDescent="0.3">
      <c r="A3" s="10" t="s">
        <v>7</v>
      </c>
      <c r="B3" s="11" t="s">
        <v>8</v>
      </c>
      <c r="C3" s="11" t="s">
        <v>9</v>
      </c>
      <c r="D3" s="12" t="s">
        <v>10</v>
      </c>
    </row>
    <row r="4" spans="1:4" ht="52.05" customHeight="1" x14ac:dyDescent="0.3">
      <c r="A4" s="6" t="s">
        <v>11</v>
      </c>
      <c r="B4" s="7" t="s">
        <v>12</v>
      </c>
      <c r="C4" s="8" t="s">
        <v>13</v>
      </c>
      <c r="D4" s="11" t="s">
        <v>14</v>
      </c>
    </row>
    <row r="5" spans="1:4" ht="52.05" customHeight="1" x14ac:dyDescent="0.3">
      <c r="A5" s="10" t="s">
        <v>15</v>
      </c>
      <c r="B5" s="7" t="s">
        <v>123</v>
      </c>
      <c r="C5" s="8" t="s">
        <v>124</v>
      </c>
      <c r="D5" s="9" t="s">
        <v>16</v>
      </c>
    </row>
    <row r="8" spans="1:4" ht="24" customHeight="1" x14ac:dyDescent="0.3">
      <c r="A8" s="1" t="s">
        <v>17</v>
      </c>
      <c r="B8" s="14" t="s">
        <v>18</v>
      </c>
      <c r="C8" s="15"/>
      <c r="D8" s="16"/>
    </row>
    <row r="9" spans="1:4" ht="24" x14ac:dyDescent="0.3">
      <c r="A9" s="1" t="s">
        <v>19</v>
      </c>
      <c r="B9" s="3" t="s">
        <v>20</v>
      </c>
      <c r="C9" s="3"/>
      <c r="D9" s="3"/>
    </row>
    <row r="10" spans="1:4" ht="24" customHeight="1" x14ac:dyDescent="0.3">
      <c r="A10" s="1" t="s">
        <v>117</v>
      </c>
      <c r="B10" s="2" t="s">
        <v>0</v>
      </c>
      <c r="C10" s="2"/>
      <c r="D10" s="2"/>
    </row>
    <row r="20" spans="2:2" x14ac:dyDescent="0.3">
      <c r="B20" s="13"/>
    </row>
  </sheetData>
  <mergeCells count="3">
    <mergeCell ref="B8:D8"/>
    <mergeCell ref="B9:D9"/>
    <mergeCell ref="B10:D10"/>
  </mergeCells>
  <pageMargins left="0.25" right="0.25" top="0.4" bottom="0.4" header="0.3" footer="0.3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2"/>
  <sheetViews>
    <sheetView showGridLines="0" zoomScale="90" zoomScaleNormal="90" workbookViewId="0">
      <pane ySplit="1" topLeftCell="A2" activePane="bottomLeft" state="frozen"/>
      <selection pane="bottomLeft" activeCell="B12" sqref="B12:D12"/>
    </sheetView>
  </sheetViews>
  <sheetFormatPr defaultRowHeight="14.4" x14ac:dyDescent="0.3"/>
  <cols>
    <col min="1" max="1" width="29.6640625" style="4" customWidth="1"/>
    <col min="2" max="3" width="40.6640625" style="4" customWidth="1"/>
    <col min="4" max="4" width="48.6640625" style="4" customWidth="1"/>
    <col min="5" max="16384" width="8.88671875" style="4"/>
  </cols>
  <sheetData>
    <row r="1" spans="1:4" ht="30" customHeight="1" x14ac:dyDescent="0.3">
      <c r="A1" s="5" t="s">
        <v>119</v>
      </c>
      <c r="B1" s="5" t="s">
        <v>22</v>
      </c>
      <c r="C1" s="5" t="s">
        <v>23</v>
      </c>
      <c r="D1" s="5" t="s">
        <v>24</v>
      </c>
    </row>
    <row r="2" spans="1:4" ht="52.05" customHeight="1" x14ac:dyDescent="0.3">
      <c r="A2" s="6" t="s">
        <v>25</v>
      </c>
      <c r="B2" s="7" t="s">
        <v>26</v>
      </c>
      <c r="C2" s="8" t="s">
        <v>27</v>
      </c>
      <c r="D2" s="6" t="s">
        <v>28</v>
      </c>
    </row>
    <row r="3" spans="1:4" ht="52.05" customHeight="1" x14ac:dyDescent="0.3">
      <c r="A3" s="10" t="s">
        <v>29</v>
      </c>
      <c r="B3" s="7" t="s">
        <v>30</v>
      </c>
      <c r="C3" s="8" t="s">
        <v>31</v>
      </c>
      <c r="D3" s="10" t="s">
        <v>32</v>
      </c>
    </row>
    <row r="4" spans="1:4" ht="52.05" customHeight="1" x14ac:dyDescent="0.3">
      <c r="A4" s="6" t="s">
        <v>33</v>
      </c>
      <c r="B4" s="12" t="s">
        <v>34</v>
      </c>
      <c r="C4" s="12" t="s">
        <v>35</v>
      </c>
      <c r="D4" s="6" t="s">
        <v>36</v>
      </c>
    </row>
    <row r="5" spans="1:4" ht="52.05" customHeight="1" x14ac:dyDescent="0.3">
      <c r="A5" s="10" t="s">
        <v>37</v>
      </c>
      <c r="B5" s="7" t="s">
        <v>38</v>
      </c>
      <c r="C5" s="8" t="s">
        <v>39</v>
      </c>
      <c r="D5" s="10" t="s">
        <v>40</v>
      </c>
    </row>
    <row r="6" spans="1:4" ht="52.05" customHeight="1" x14ac:dyDescent="0.3">
      <c r="A6" s="6" t="s">
        <v>41</v>
      </c>
      <c r="B6" s="7" t="s">
        <v>42</v>
      </c>
      <c r="C6" s="12" t="s">
        <v>43</v>
      </c>
      <c r="D6" s="6" t="s">
        <v>44</v>
      </c>
    </row>
    <row r="7" spans="1:4" ht="52.05" customHeight="1" x14ac:dyDescent="0.3">
      <c r="A7" s="10" t="s">
        <v>45</v>
      </c>
      <c r="B7" s="12" t="s">
        <v>46</v>
      </c>
      <c r="C7" s="12" t="s">
        <v>47</v>
      </c>
      <c r="D7" s="10" t="s">
        <v>48</v>
      </c>
    </row>
    <row r="8" spans="1:4" ht="52.05" customHeight="1" x14ac:dyDescent="0.3">
      <c r="A8" s="6" t="s">
        <v>49</v>
      </c>
      <c r="B8" s="7" t="s">
        <v>50</v>
      </c>
      <c r="C8" s="8" t="s">
        <v>51</v>
      </c>
      <c r="D8" s="6" t="s">
        <v>52</v>
      </c>
    </row>
    <row r="9" spans="1:4" ht="52.05" customHeight="1" x14ac:dyDescent="0.3">
      <c r="A9" s="10" t="s">
        <v>53</v>
      </c>
      <c r="B9" s="7" t="s">
        <v>54</v>
      </c>
      <c r="C9" s="8" t="s">
        <v>55</v>
      </c>
      <c r="D9" s="10" t="s">
        <v>56</v>
      </c>
    </row>
    <row r="12" spans="1:4" ht="24" customHeight="1" x14ac:dyDescent="0.3">
      <c r="A12" s="1" t="s">
        <v>17</v>
      </c>
      <c r="B12" s="14" t="s">
        <v>21</v>
      </c>
      <c r="C12" s="15"/>
      <c r="D12" s="16"/>
    </row>
  </sheetData>
  <mergeCells count="1">
    <mergeCell ref="B12:D12"/>
  </mergeCells>
  <pageMargins left="0.25" right="0.25" top="0.4" bottom="0.4" header="0.3" footer="0.3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9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.6640625" customWidth="1"/>
    <col min="2" max="3" width="28.6640625" customWidth="1"/>
    <col min="4" max="4" width="58.6640625" customWidth="1"/>
  </cols>
  <sheetData>
    <row r="1" spans="1:5" ht="30" customHeight="1" x14ac:dyDescent="0.3">
      <c r="A1" s="5" t="s">
        <v>120</v>
      </c>
      <c r="B1" s="5" t="s">
        <v>57</v>
      </c>
      <c r="C1" s="5" t="s">
        <v>58</v>
      </c>
      <c r="D1" s="5" t="s">
        <v>59</v>
      </c>
      <c r="E1" s="4"/>
    </row>
    <row r="2" spans="1:5" ht="52.05" customHeight="1" x14ac:dyDescent="0.3">
      <c r="A2" s="6" t="s">
        <v>60</v>
      </c>
      <c r="B2" s="6" t="s">
        <v>61</v>
      </c>
      <c r="C2" s="6" t="s">
        <v>62</v>
      </c>
      <c r="D2" s="6" t="s">
        <v>63</v>
      </c>
      <c r="E2" s="4"/>
    </row>
    <row r="3" spans="1:5" ht="52.05" customHeight="1" x14ac:dyDescent="0.3">
      <c r="A3" s="10" t="s">
        <v>64</v>
      </c>
      <c r="B3" s="10" t="s">
        <v>65</v>
      </c>
      <c r="C3" s="10" t="s">
        <v>66</v>
      </c>
      <c r="D3" s="10" t="s">
        <v>67</v>
      </c>
      <c r="E3" s="4"/>
    </row>
    <row r="4" spans="1:5" ht="52.05" customHeight="1" x14ac:dyDescent="0.3">
      <c r="A4" s="6" t="s">
        <v>68</v>
      </c>
      <c r="B4" s="6" t="s">
        <v>69</v>
      </c>
      <c r="C4" s="6" t="s">
        <v>69</v>
      </c>
      <c r="D4" s="6" t="s">
        <v>70</v>
      </c>
      <c r="E4" s="4"/>
    </row>
    <row r="5" spans="1:5" ht="52.05" customHeight="1" x14ac:dyDescent="0.3">
      <c r="A5" s="10" t="s">
        <v>71</v>
      </c>
      <c r="B5" s="10" t="s">
        <v>72</v>
      </c>
      <c r="C5" s="10" t="s">
        <v>72</v>
      </c>
      <c r="D5" s="10" t="s">
        <v>73</v>
      </c>
      <c r="E5" s="4"/>
    </row>
    <row r="6" spans="1:5" ht="52.05" customHeight="1" x14ac:dyDescent="0.3">
      <c r="A6" s="6" t="s">
        <v>74</v>
      </c>
      <c r="B6" s="6" t="s">
        <v>75</v>
      </c>
      <c r="C6" s="6" t="s">
        <v>76</v>
      </c>
      <c r="D6" s="6" t="s">
        <v>77</v>
      </c>
      <c r="E6" s="4"/>
    </row>
    <row r="7" spans="1:5" x14ac:dyDescent="0.3">
      <c r="A7" s="4"/>
      <c r="B7" s="4"/>
      <c r="C7" s="4"/>
      <c r="D7" s="4"/>
      <c r="E7" s="4"/>
    </row>
    <row r="8" spans="1:5" ht="24" customHeight="1" x14ac:dyDescent="0.3">
      <c r="A8" s="1" t="s">
        <v>78</v>
      </c>
      <c r="B8" s="14" t="s">
        <v>79</v>
      </c>
      <c r="C8" s="15"/>
      <c r="D8" s="16"/>
    </row>
    <row r="9" spans="1:5" ht="24" customHeight="1" x14ac:dyDescent="0.3">
      <c r="A9" s="1" t="s">
        <v>68</v>
      </c>
      <c r="B9" s="14" t="s">
        <v>121</v>
      </c>
      <c r="C9" s="15"/>
      <c r="D9" s="16"/>
    </row>
  </sheetData>
  <mergeCells count="2">
    <mergeCell ref="B8:D8"/>
    <mergeCell ref="B9:D9"/>
  </mergeCells>
  <pageMargins left="0.25" right="0.25" top="0.4" bottom="0.4" header="0.3" footer="0.3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6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.6640625" customWidth="1"/>
    <col min="2" max="3" width="20.6640625" customWidth="1"/>
    <col min="4" max="4" width="65.21875" customWidth="1"/>
  </cols>
  <sheetData>
    <row r="1" spans="1:4" ht="30" customHeight="1" x14ac:dyDescent="0.3">
      <c r="A1" s="5" t="s">
        <v>80</v>
      </c>
      <c r="B1" s="5" t="s">
        <v>57</v>
      </c>
      <c r="C1" s="5" t="s">
        <v>58</v>
      </c>
      <c r="D1" s="5" t="s">
        <v>81</v>
      </c>
    </row>
    <row r="2" spans="1:4" ht="52.05" customHeight="1" x14ac:dyDescent="0.3">
      <c r="A2" s="10" t="s">
        <v>82</v>
      </c>
      <c r="B2" s="18">
        <f>Assumptions!B3</f>
        <v>30000</v>
      </c>
      <c r="C2" s="18" t="str">
        <f>Assumptions!B4</f>
        <v>Interno</v>
      </c>
      <c r="D2" s="10" t="s">
        <v>83</v>
      </c>
    </row>
    <row r="3" spans="1:4" ht="52.05" customHeight="1" x14ac:dyDescent="0.3">
      <c r="A3" s="10" t="s">
        <v>11</v>
      </c>
      <c r="B3" s="18">
        <f>SUM(B2:B2)</f>
        <v>30000</v>
      </c>
      <c r="C3" s="18">
        <f>SUM(C2:C2)</f>
        <v>0</v>
      </c>
      <c r="D3" s="10" t="s">
        <v>84</v>
      </c>
    </row>
    <row r="4" spans="1:4" x14ac:dyDescent="0.3">
      <c r="A4" s="4"/>
      <c r="B4" s="4"/>
      <c r="C4" s="4"/>
      <c r="D4" s="4"/>
    </row>
    <row r="5" spans="1:4" x14ac:dyDescent="0.3">
      <c r="A5" s="4"/>
      <c r="B5" s="4"/>
      <c r="C5" s="4"/>
      <c r="D5" s="4"/>
    </row>
    <row r="6" spans="1:4" ht="24" x14ac:dyDescent="0.3">
      <c r="A6" s="1" t="s">
        <v>85</v>
      </c>
      <c r="B6" s="17" t="s">
        <v>122</v>
      </c>
      <c r="C6" s="17"/>
      <c r="D6" s="17"/>
    </row>
  </sheetData>
  <mergeCells count="1">
    <mergeCell ref="B6:D6"/>
  </mergeCells>
  <pageMargins left="0.25" right="0.25" top="0.4" bottom="0.4" header="0.3" footer="0.3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13"/>
  <sheetViews>
    <sheetView showGridLines="0" zoomScale="90" zoomScaleNormal="90" workbookViewId="0">
      <pane ySplit="1" topLeftCell="A2" activePane="bottomLeft" state="frozen"/>
      <selection pane="bottomLeft" activeCell="D13" sqref="D13"/>
    </sheetView>
  </sheetViews>
  <sheetFormatPr defaultRowHeight="14.4" x14ac:dyDescent="0.3"/>
  <cols>
    <col min="1" max="1" width="46.6640625" style="4" customWidth="1"/>
    <col min="2" max="2" width="35.109375" style="20" bestFit="1" customWidth="1"/>
    <col min="3" max="3" width="27.6640625" style="4" customWidth="1"/>
    <col min="4" max="4" width="58.6640625" style="4" customWidth="1"/>
    <col min="5" max="16384" width="8.88671875" style="4"/>
  </cols>
  <sheetData>
    <row r="1" spans="1:4" ht="30" customHeight="1" x14ac:dyDescent="0.3">
      <c r="A1" s="5" t="s">
        <v>80</v>
      </c>
      <c r="B1" s="21" t="s">
        <v>86</v>
      </c>
      <c r="C1" s="5" t="s">
        <v>87</v>
      </c>
      <c r="D1" s="5" t="s">
        <v>88</v>
      </c>
    </row>
    <row r="2" spans="1:4" ht="42" customHeight="1" x14ac:dyDescent="0.3">
      <c r="A2" s="19" t="s">
        <v>89</v>
      </c>
      <c r="B2" s="22">
        <v>5000</v>
      </c>
      <c r="C2" s="19" t="s">
        <v>90</v>
      </c>
      <c r="D2" s="19" t="s">
        <v>91</v>
      </c>
    </row>
    <row r="3" spans="1:4" ht="42" customHeight="1" x14ac:dyDescent="0.3">
      <c r="A3" s="10" t="s">
        <v>92</v>
      </c>
      <c r="B3" s="23">
        <v>30000</v>
      </c>
      <c r="C3" s="10" t="s">
        <v>90</v>
      </c>
      <c r="D3" s="10" t="s">
        <v>93</v>
      </c>
    </row>
    <row r="4" spans="1:4" ht="42" customHeight="1" x14ac:dyDescent="0.3">
      <c r="A4" s="19" t="s">
        <v>94</v>
      </c>
      <c r="B4" s="22" t="s">
        <v>95</v>
      </c>
      <c r="C4" s="19" t="s">
        <v>96</v>
      </c>
      <c r="D4" s="19" t="s">
        <v>97</v>
      </c>
    </row>
    <row r="5" spans="1:4" ht="42" customHeight="1" x14ac:dyDescent="0.3">
      <c r="A5" s="10" t="s">
        <v>101</v>
      </c>
      <c r="B5" s="23" t="s">
        <v>102</v>
      </c>
      <c r="C5" s="10" t="s">
        <v>103</v>
      </c>
      <c r="D5" s="10" t="s">
        <v>104</v>
      </c>
    </row>
    <row r="6" spans="1:4" ht="42" customHeight="1" x14ac:dyDescent="0.3">
      <c r="A6" s="19" t="s">
        <v>105</v>
      </c>
      <c r="B6" s="22" t="s">
        <v>106</v>
      </c>
      <c r="C6" s="19" t="s">
        <v>107</v>
      </c>
      <c r="D6" s="19" t="s">
        <v>108</v>
      </c>
    </row>
    <row r="7" spans="1:4" ht="42" customHeight="1" x14ac:dyDescent="0.3">
      <c r="A7" s="10" t="s">
        <v>109</v>
      </c>
      <c r="B7" s="23" t="s">
        <v>110</v>
      </c>
      <c r="C7" s="10" t="s">
        <v>111</v>
      </c>
      <c r="D7" s="10" t="s">
        <v>112</v>
      </c>
    </row>
    <row r="8" spans="1:4" ht="42" customHeight="1" x14ac:dyDescent="0.3">
      <c r="A8" s="19" t="s">
        <v>98</v>
      </c>
      <c r="B8" s="22" t="s">
        <v>69</v>
      </c>
      <c r="C8" s="19" t="s">
        <v>99</v>
      </c>
      <c r="D8" s="19" t="s">
        <v>100</v>
      </c>
    </row>
    <row r="9" spans="1:4" ht="42" customHeight="1" x14ac:dyDescent="0.3">
      <c r="A9" s="10" t="s">
        <v>113</v>
      </c>
      <c r="B9" s="23" t="s">
        <v>114</v>
      </c>
      <c r="C9" s="10" t="s">
        <v>115</v>
      </c>
      <c r="D9" s="10" t="s">
        <v>116</v>
      </c>
    </row>
    <row r="13" spans="1:4" x14ac:dyDescent="0.3">
      <c r="D13" s="24"/>
    </row>
  </sheetData>
  <pageMargins left="0.25" right="0.25" top="0.4" bottom="0.4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Executive recap</vt:lpstr>
      <vt:lpstr>Comparazione funzinale</vt:lpstr>
      <vt:lpstr>Stime</vt:lpstr>
      <vt:lpstr>Economics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pipeline - confronto C-level AWS/Qlik</dc:title>
  <dc:subject>Funzionalita, tempi, economics e assunzioni</dc:subject>
  <dc:creator>TXT / Novigo</dc:creator>
  <cp:lastModifiedBy>Ignazio Ingenito</cp:lastModifiedBy>
  <dcterms:created xsi:type="dcterms:W3CDTF">2026-08-04T08:30:30Z</dcterms:created>
  <dcterms:modified xsi:type="dcterms:W3CDTF">2026-08-04T08:49:28Z</dcterms:modified>
</cp:coreProperties>
</file>